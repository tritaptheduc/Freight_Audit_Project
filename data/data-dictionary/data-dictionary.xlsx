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guyen/Work/Project/Freight-Audit-2/"/>
    </mc:Choice>
  </mc:AlternateContent>
  <xr:revisionPtr revIDLastSave="0" documentId="8_{39958773-57B8-4D4C-85F7-190C497E4CEE}" xr6:coauthVersionLast="47" xr6:coauthVersionMax="47" xr10:uidLastSave="{00000000-0000-0000-0000-000000000000}"/>
  <bookViews>
    <workbookView xWindow="1100" yWindow="820" windowWidth="28040" windowHeight="17440" activeTab="3" xr2:uid="{B964363A-AE56-C745-84F4-D95696E7C58E}"/>
  </bookViews>
  <sheets>
    <sheet name="dim_contract_rates" sheetId="1" r:id="rId1"/>
    <sheet name="fact_shipments_bol" sheetId="2" r:id="rId2"/>
    <sheet name="raw_carrier_invoices" sheetId="3" r:id="rId3"/>
    <sheet name="dim_exchange_rat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</calcChain>
</file>

<file path=xl/sharedStrings.xml><?xml version="1.0" encoding="utf-8"?>
<sst xmlns="http://schemas.openxmlformats.org/spreadsheetml/2006/main" count="171" uniqueCount="118">
  <si>
    <t>Tên cột</t>
  </si>
  <si>
    <t>Kiểu dữ liệu</t>
  </si>
  <si>
    <t>Mô tả</t>
  </si>
  <si>
    <t>Quy tắc / Ví dụ</t>
  </si>
  <si>
    <t>Contract_ID</t>
  </si>
  <si>
    <t>STRING</t>
  </si>
  <si>
    <t>(PK) Mã hợp đồng cước</t>
  </si>
  <si>
    <t>CTR-1001</t>
  </si>
  <si>
    <t>Carrier</t>
  </si>
  <si>
    <t>Tên Hãng tàu / Nhà vận chuyển</t>
  </si>
  <si>
    <t>Maersk, CMA CGM, MSC,...</t>
  </si>
  <si>
    <t>POL_Origin</t>
  </si>
  <si>
    <t>Cảng đi (Port of Loading)</t>
  </si>
  <si>
    <t>VNHPH, VNSGN, VNDNG</t>
  </si>
  <si>
    <t>POD_Destination</t>
  </si>
  <si>
    <t>Cảng đến (Port of Discharge)</t>
  </si>
  <si>
    <t>CNSHA, DEHAM, NLRTM, USLAX</t>
  </si>
  <si>
    <t>Container_Type</t>
  </si>
  <si>
    <t>Loại container</t>
  </si>
  <si>
    <t>20DC, 40HC</t>
  </si>
  <si>
    <t>Currency</t>
  </si>
  <si>
    <t>Loại tiền tệ của hợp đồng</t>
  </si>
  <si>
    <t>USD, EUR</t>
  </si>
  <si>
    <t>Agreed_Base_Rate</t>
  </si>
  <si>
    <t>FLOAT</t>
  </si>
  <si>
    <t>Cước cơ bản thỏa thuận</t>
  </si>
  <si>
    <t>USD 400 - 3200</t>
  </si>
  <si>
    <t>Fuel_Surcharge_Type</t>
  </si>
  <si>
    <t>Phương thức tính phụ phí xăng dầu</t>
  </si>
  <si>
    <t>PERCENTAGE (% Base Rate) hoặc FLAT (USD/Cont)</t>
  </si>
  <si>
    <t>Agreed_Fuel_Rate</t>
  </si>
  <si>
    <t>Tỷ lệ % (0.10 - 0.20) hoặc Số tiền Flat (100 - 300)</t>
  </si>
  <si>
    <t>0.12 (12%) hoặc 150.0</t>
  </si>
  <si>
    <t>Free_Demurrage_Days</t>
  </si>
  <si>
    <t>INTEGER</t>
  </si>
  <si>
    <t>Số ngày miễn phí lưu bãi cảng (Demurrage)</t>
  </si>
  <si>
    <t>5, 7, 10 ngày</t>
  </si>
  <si>
    <t>Demurrage_Tier1_Rate</t>
  </si>
  <si>
    <t>Đơn giá phạt Demurrage Khung 1 (USD/ngày)</t>
  </si>
  <si>
    <t>40.0 - 60.0 USD (Áp dụng cho 5 ngày quá hạn đầu)</t>
  </si>
  <si>
    <t>Demurrage_Tier2_Rate</t>
  </si>
  <si>
    <t>Đơn giá phạt Demurrage Khung 2 (USD/ngày)</t>
  </si>
  <si>
    <t>80.0 - 120.0 USD (Áp dụng từ ngày quá hạn thứ 6)</t>
  </si>
  <si>
    <t>Free_Detention_Days</t>
  </si>
  <si>
    <t>Số ngày miễn phí lưu vỏ tại kho (Detention)</t>
  </si>
  <si>
    <t>3, 5, 7 ngày</t>
  </si>
  <si>
    <t>Detention_Daily_Rate</t>
  </si>
  <si>
    <t>Đơn giá phạt Detention cố định (USD/ngày)</t>
  </si>
  <si>
    <t>35.0 - 50.0 USD/ngày</t>
  </si>
  <si>
    <t>BOL_Number</t>
  </si>
  <si>
    <t>(PK) Số vận đơn (Bill of Lading)</t>
  </si>
  <si>
    <t>BOL202600001</t>
  </si>
  <si>
    <t>(FK) Mã hợp đồng áp dụng</t>
  </si>
  <si>
    <t>Trỏ tới dim_contract_rates</t>
  </si>
  <si>
    <t>Shipment_Date</t>
  </si>
  <si>
    <t>DATE</t>
  </si>
  <si>
    <t>Ngày tàu chạy</t>
  </si>
  <si>
    <t>Định dạng YYYY-MM-DD</t>
  </si>
  <si>
    <t>Promised_SLA_Delivery_Date</t>
  </si>
  <si>
    <t>Ngày cam kết giao hàng theo SLA</t>
  </si>
  <si>
    <t>Ngày tàu chạy + 15 đến 35 ngày</t>
  </si>
  <si>
    <t>Actual_Delivery_Date</t>
  </si>
  <si>
    <t>Ngày thực tế giao tới khách</t>
  </si>
  <si>
    <t>Có thể trễ SLA từ 1 - 5 ngày</t>
  </si>
  <si>
    <t>WMS_Measured_Weight_KG</t>
  </si>
  <si>
    <t>Trọng lượng cân thực tế tại Kho WMS</t>
  </si>
  <si>
    <t>12,000 - 28,000 KG</t>
  </si>
  <si>
    <t>Gate_In_Port_Date</t>
  </si>
  <si>
    <t>Ngày container hạ bãi cảng</t>
  </si>
  <si>
    <t>Ngày xuất hàng</t>
  </si>
  <si>
    <t>Gate_Out_Port_Date</t>
  </si>
  <si>
    <t>Ngày container kéo ra khỏi cảng</t>
  </si>
  <si>
    <t>Gate In + 3 đến 18 ngày</t>
  </si>
  <si>
    <t>Empty_Return_Date</t>
  </si>
  <si>
    <t>Ngày trả vỏ rỗng về ICD/Depot</t>
  </si>
  <si>
    <t>Gate Out + 2 đến 10 ngày</t>
  </si>
  <si>
    <t>Root_Cause_Delay</t>
  </si>
  <si>
    <t>Nguyên nhân chính gây trễ hạn (nếu có)</t>
  </si>
  <si>
    <t>NONE, CARRIER_ERROR, CUSTOMS_HOLD, WEATHER</t>
  </si>
  <si>
    <t>Invoice_Number</t>
  </si>
  <si>
    <t>(PK) Số hóa đơn của Hãng tàu</t>
  </si>
  <si>
    <t>INV-2026-5001 (Có mã -DUP nếu trùng)</t>
  </si>
  <si>
    <t>(FK) Số vận đơn được tính tiền</t>
  </si>
  <si>
    <t>Trỏ tới fact_shipments_bol</t>
  </si>
  <si>
    <t>Tên hãng tàu phát hành hóa đơn</t>
  </si>
  <si>
    <t>Trùng tên hãng trên BOL</t>
  </si>
  <si>
    <t>Invoice_Date</t>
  </si>
  <si>
    <t>(FK) Ngày phát hành hóa đơn</t>
  </si>
  <si>
    <t>Nằm trong khoảng ngày giao hàng</t>
  </si>
  <si>
    <t>Invoice_Currency</t>
  </si>
  <si>
    <t>(FK) Loại tiền tệ trên hóa đơn</t>
  </si>
  <si>
    <t>USD, EUR, VND</t>
  </si>
  <si>
    <t>Billed_Weight_KG</t>
  </si>
  <si>
    <t>Trọng lượng hãng tàu tính cước</t>
  </si>
  <si>
    <t>Thường bằng WMS weight, có 4% bị kê khống +10-20%</t>
  </si>
  <si>
    <t>Billed_Base_Rate</t>
  </si>
  <si>
    <t>Cước cơ bản đòi trên hóa đơn</t>
  </si>
  <si>
    <t>Đơn vị theo Invoice_Currency</t>
  </si>
  <si>
    <t>Billed_Fuel_Surcharge</t>
  </si>
  <si>
    <t>Phụ phí xăng dầu đòi trên hóa đơn</t>
  </si>
  <si>
    <t>Billed_Demurrage_Amount</t>
  </si>
  <si>
    <t>Phí phạt ngâm bãi đòi trên hóa đơn</t>
  </si>
  <si>
    <t>Billed_Detention_Amount</t>
  </si>
  <si>
    <t>Phí phạt ngâm vỏ đòi trên hóa đơn</t>
  </si>
  <si>
    <t>Billed_Total_Amount</t>
  </si>
  <si>
    <t>Tổng số tiền đòi trên hóa đơn</t>
  </si>
  <si>
    <t>Rate_Date</t>
  </si>
  <si>
    <t>Tuần tự từng ngày trong năm 2026</t>
  </si>
  <si>
    <t>From_Currency</t>
  </si>
  <si>
    <t>EUR, VND</t>
  </si>
  <si>
    <t>To_Currency</t>
  </si>
  <si>
    <t>Ngoại tệ quy đổi chuẩn</t>
  </si>
  <si>
    <t>USD</t>
  </si>
  <si>
    <t>Exchange_Rate</t>
  </si>
  <si>
    <t>Tỷ giá quy đổi (USD = Amount * Rate)</t>
  </si>
  <si>
    <t>EUR -&gt; USD: ~1.08; VND -&gt; USD: ~0.000041</t>
  </si>
  <si>
    <t>Nguyên tệ</t>
  </si>
  <si>
    <t>(FK) Ngày áp dụng tỷ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</si>
</sst>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0E815-6C0C-9845-9D92-18970B93FD89}" name="Table1" displayName="Table1" ref="A1:D15" totalsRowShown="0" headerRowDxfId="3">
  <autoFilter ref="A1:D15" xr:uid="{28C0E815-6C0C-9845-9D92-18970B93FD89}"/>
  <tableColumns count="4">
    <tableColumn id="1" xr3:uid="{0EE828D3-1558-F54C-9DA1-55F23FD3ECD9}" name="Tên cột"/>
    <tableColumn id="2" xr3:uid="{7CEDCCB2-8DFA-E04C-84F3-E4EA5138785C}" name="Kiểu dữ liệu"/>
    <tableColumn id="3" xr3:uid="{52B3A63F-5B8E-5D45-A405-FEDC3E0E403A}" name="Mô tả"/>
    <tableColumn id="4" xr3:uid="{0B61BAC3-644A-934A-B12F-7842D0C6E059}" name="Quy tắc / Ví dụ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CB2D9-49B4-344F-8758-9818B3A43D34}" name="Table2" displayName="Table2" ref="A1:D11" totalsRowShown="0" headerRowDxfId="2">
  <autoFilter ref="A1:D11" xr:uid="{F60CB2D9-49B4-344F-8758-9818B3A43D34}"/>
  <tableColumns count="4">
    <tableColumn id="1" xr3:uid="{B19E47F5-0873-E04E-83A9-97EE8CCA4CC0}" name="Tên cột"/>
    <tableColumn id="2" xr3:uid="{8BF345BF-AEF1-4449-A544-B77F20AF62A7}" name="Kiểu dữ liệu"/>
    <tableColumn id="3" xr3:uid="{C10D5B3C-831F-6445-964C-4325FBC0609E}" name="Mô tả"/>
    <tableColumn id="4" xr3:uid="{31F47A89-809E-6249-BE20-3ADD6AC163FB}" name="Quy tắc / Ví dụ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041A30-D139-D94A-9EE4-D97EB06749FD}" name="Table3" displayName="Table3" ref="A1:D12" totalsRowShown="0" headerRowDxfId="1">
  <autoFilter ref="A1:D12" xr:uid="{90041A30-D139-D94A-9EE4-D97EB06749FD}"/>
  <tableColumns count="4">
    <tableColumn id="1" xr3:uid="{9A15D299-A197-F84A-897F-FEE14D44E9CB}" name="Tên cột"/>
    <tableColumn id="2" xr3:uid="{7427BE85-6022-A34D-9143-C9BE7A9B8C2D}" name="Kiểu dữ liệu"/>
    <tableColumn id="3" xr3:uid="{37C9D910-54F7-6F41-A0E0-A09C90FD4F5B}" name="Mô tả"/>
    <tableColumn id="4" xr3:uid="{9ABB5D48-8D41-5C43-AD21-AFFF856685D5}" name="Quy tắc / Ví dụ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C9818-51BC-FD4E-98D7-41786783B5BF}" name="Table4" displayName="Table4" ref="A1:D5" totalsRowShown="0" headerRowDxfId="0">
  <autoFilter ref="A1:D5" xr:uid="{A47C9818-51BC-FD4E-98D7-41786783B5BF}"/>
  <tableColumns count="4">
    <tableColumn id="1" xr3:uid="{BDE7CD0F-1B21-F44A-A6F5-F2242CCCE594}" name="Tên cột"/>
    <tableColumn id="2" xr3:uid="{D8ED9109-C523-7248-9F02-46C2D29092F7}" name="Kiểu dữ liệu"/>
    <tableColumn id="3" xr3:uid="{28D34649-691E-4F47-824C-416AACB13752}" name="Mô tả"/>
    <tableColumn id="4" xr3:uid="{E27A2275-E6BB-0545-9708-31DE1E6954CF}" name="Quy tắc / Ví dụ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820C-17D3-D84A-BB22-A7D332B4B2E8}">
  <dimension ref="A1:D15"/>
  <sheetViews>
    <sheetView workbookViewId="0">
      <selection activeCell="E17" sqref="E17"/>
    </sheetView>
  </sheetViews>
  <sheetFormatPr baseColWidth="10" defaultRowHeight="16" x14ac:dyDescent="0.2"/>
  <cols>
    <col min="1" max="1" width="20.5" bestFit="1" customWidth="1"/>
    <col min="2" max="2" width="13.5" customWidth="1"/>
    <col min="3" max="3" width="41" bestFit="1" customWidth="1"/>
    <col min="4" max="4" width="42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24</v>
      </c>
      <c r="C8" t="s">
        <v>25</v>
      </c>
      <c r="D8" t="s">
        <v>26</v>
      </c>
    </row>
    <row r="9" spans="1:4" x14ac:dyDescent="0.2">
      <c r="A9" t="s">
        <v>27</v>
      </c>
      <c r="B9" t="s">
        <v>5</v>
      </c>
      <c r="C9" t="s">
        <v>28</v>
      </c>
      <c r="D9" t="s">
        <v>29</v>
      </c>
    </row>
    <row r="10" spans="1:4" x14ac:dyDescent="0.2">
      <c r="A10" t="s">
        <v>30</v>
      </c>
      <c r="B10" t="s">
        <v>24</v>
      </c>
      <c r="C10" t="s">
        <v>31</v>
      </c>
      <c r="D10" t="s">
        <v>32</v>
      </c>
    </row>
    <row r="11" spans="1:4" x14ac:dyDescent="0.2">
      <c r="A11" t="s">
        <v>33</v>
      </c>
      <c r="B11" t="s">
        <v>34</v>
      </c>
      <c r="C11" t="s">
        <v>35</v>
      </c>
      <c r="D11" t="s">
        <v>36</v>
      </c>
    </row>
    <row r="12" spans="1:4" x14ac:dyDescent="0.2">
      <c r="A12" t="s">
        <v>37</v>
      </c>
      <c r="B12" t="s">
        <v>24</v>
      </c>
      <c r="C12" t="s">
        <v>38</v>
      </c>
      <c r="D12" t="s">
        <v>39</v>
      </c>
    </row>
    <row r="13" spans="1:4" x14ac:dyDescent="0.2">
      <c r="A13" t="s">
        <v>40</v>
      </c>
      <c r="B13" t="s">
        <v>24</v>
      </c>
      <c r="C13" t="s">
        <v>41</v>
      </c>
      <c r="D13" t="s">
        <v>42</v>
      </c>
    </row>
    <row r="14" spans="1:4" x14ac:dyDescent="0.2">
      <c r="A14" t="s">
        <v>43</v>
      </c>
      <c r="B14" t="s">
        <v>34</v>
      </c>
      <c r="C14" t="s">
        <v>44</v>
      </c>
      <c r="D14" t="s">
        <v>45</v>
      </c>
    </row>
    <row r="15" spans="1:4" x14ac:dyDescent="0.2">
      <c r="A15" t="s">
        <v>46</v>
      </c>
      <c r="B15" t="s">
        <v>24</v>
      </c>
      <c r="C15" t="s">
        <v>47</v>
      </c>
      <c r="D15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9EAC-7A70-4843-81CC-2058D5F3E426}">
  <dimension ref="A1:D11"/>
  <sheetViews>
    <sheetView workbookViewId="0">
      <selection activeCell="D24" sqref="D24"/>
    </sheetView>
  </sheetViews>
  <sheetFormatPr baseColWidth="10" defaultRowHeight="16" x14ac:dyDescent="0.2"/>
  <cols>
    <col min="1" max="1" width="25.5" bestFit="1" customWidth="1"/>
    <col min="2" max="2" width="13.5" customWidth="1"/>
    <col min="3" max="3" width="34.1640625" bestFit="1" customWidth="1"/>
    <col min="4" max="4" width="4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49</v>
      </c>
      <c r="B2" t="s">
        <v>5</v>
      </c>
      <c r="C2" t="s">
        <v>50</v>
      </c>
      <c r="D2" t="s">
        <v>51</v>
      </c>
    </row>
    <row r="3" spans="1:4" x14ac:dyDescent="0.2">
      <c r="A3" t="s">
        <v>4</v>
      </c>
      <c r="B3" t="s">
        <v>5</v>
      </c>
      <c r="C3" t="s">
        <v>52</v>
      </c>
      <c r="D3" t="s">
        <v>53</v>
      </c>
    </row>
    <row r="4" spans="1:4" x14ac:dyDescent="0.2">
      <c r="A4" t="s">
        <v>54</v>
      </c>
      <c r="B4" t="s">
        <v>55</v>
      </c>
      <c r="C4" t="s">
        <v>56</v>
      </c>
      <c r="D4" t="s">
        <v>57</v>
      </c>
    </row>
    <row r="5" spans="1:4" x14ac:dyDescent="0.2">
      <c r="A5" t="s">
        <v>58</v>
      </c>
      <c r="B5" t="s">
        <v>55</v>
      </c>
      <c r="C5" t="s">
        <v>59</v>
      </c>
      <c r="D5" t="s">
        <v>60</v>
      </c>
    </row>
    <row r="6" spans="1:4" x14ac:dyDescent="0.2">
      <c r="A6" t="s">
        <v>61</v>
      </c>
      <c r="B6" t="s">
        <v>55</v>
      </c>
      <c r="C6" t="s">
        <v>62</v>
      </c>
      <c r="D6" t="s">
        <v>63</v>
      </c>
    </row>
    <row r="7" spans="1:4" x14ac:dyDescent="0.2">
      <c r="A7" t="s">
        <v>64</v>
      </c>
      <c r="B7" t="s">
        <v>24</v>
      </c>
      <c r="C7" t="s">
        <v>65</v>
      </c>
      <c r="D7" t="s">
        <v>66</v>
      </c>
    </row>
    <row r="8" spans="1:4" x14ac:dyDescent="0.2">
      <c r="A8" t="s">
        <v>67</v>
      </c>
      <c r="B8" t="s">
        <v>55</v>
      </c>
      <c r="C8" t="s">
        <v>68</v>
      </c>
      <c r="D8" t="s">
        <v>69</v>
      </c>
    </row>
    <row r="9" spans="1:4" x14ac:dyDescent="0.2">
      <c r="A9" t="s">
        <v>70</v>
      </c>
      <c r="B9" t="s">
        <v>55</v>
      </c>
      <c r="C9" t="s">
        <v>71</v>
      </c>
      <c r="D9" t="s">
        <v>72</v>
      </c>
    </row>
    <row r="10" spans="1:4" x14ac:dyDescent="0.2">
      <c r="A10" t="s">
        <v>73</v>
      </c>
      <c r="B10" t="s">
        <v>55</v>
      </c>
      <c r="C10" t="s">
        <v>74</v>
      </c>
      <c r="D10" t="s">
        <v>75</v>
      </c>
    </row>
    <row r="11" spans="1:4" x14ac:dyDescent="0.2">
      <c r="A11" t="s">
        <v>76</v>
      </c>
      <c r="B11" t="s">
        <v>5</v>
      </c>
      <c r="C11" t="s">
        <v>77</v>
      </c>
      <c r="D11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578C-9358-6E44-B874-1F2E773D27B4}">
  <dimension ref="A1:D12"/>
  <sheetViews>
    <sheetView workbookViewId="0">
      <selection sqref="A1:D12"/>
    </sheetView>
  </sheetViews>
  <sheetFormatPr baseColWidth="10" defaultRowHeight="16" x14ac:dyDescent="0.2"/>
  <cols>
    <col min="1" max="1" width="23.83203125" bestFit="1" customWidth="1"/>
    <col min="2" max="2" width="13.5" customWidth="1"/>
    <col min="3" max="3" width="30.5" bestFit="1" customWidth="1"/>
    <col min="4" max="4" width="47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5">
      <c r="A2" s="2" t="s">
        <v>79</v>
      </c>
      <c r="B2" t="s">
        <v>5</v>
      </c>
      <c r="C2" t="s">
        <v>80</v>
      </c>
      <c r="D2" t="s">
        <v>81</v>
      </c>
    </row>
    <row r="3" spans="1:4" x14ac:dyDescent="0.2">
      <c r="A3" t="s">
        <v>49</v>
      </c>
      <c r="B3" t="s">
        <v>5</v>
      </c>
      <c r="C3" t="s">
        <v>82</v>
      </c>
      <c r="D3" t="s">
        <v>83</v>
      </c>
    </row>
    <row r="4" spans="1:4" x14ac:dyDescent="0.2">
      <c r="A4" t="s">
        <v>8</v>
      </c>
      <c r="B4" t="s">
        <v>5</v>
      </c>
      <c r="C4" t="s">
        <v>84</v>
      </c>
      <c r="D4" t="s">
        <v>85</v>
      </c>
    </row>
    <row r="5" spans="1:4" x14ac:dyDescent="0.2">
      <c r="A5" t="s">
        <v>86</v>
      </c>
      <c r="B5" t="s">
        <v>55</v>
      </c>
      <c r="C5" t="s">
        <v>87</v>
      </c>
      <c r="D5" t="s">
        <v>88</v>
      </c>
    </row>
    <row r="6" spans="1:4" x14ac:dyDescent="0.2">
      <c r="A6" t="s">
        <v>89</v>
      </c>
      <c r="B6" t="s">
        <v>5</v>
      </c>
      <c r="C6" t="s">
        <v>90</v>
      </c>
      <c r="D6" t="s">
        <v>91</v>
      </c>
    </row>
    <row r="7" spans="1:4" x14ac:dyDescent="0.2">
      <c r="A7" t="s">
        <v>92</v>
      </c>
      <c r="B7" t="s">
        <v>24</v>
      </c>
      <c r="C7" t="s">
        <v>93</v>
      </c>
      <c r="D7" t="s">
        <v>94</v>
      </c>
    </row>
    <row r="8" spans="1:4" x14ac:dyDescent="0.2">
      <c r="A8" t="s">
        <v>95</v>
      </c>
      <c r="B8" t="s">
        <v>24</v>
      </c>
      <c r="C8" t="s">
        <v>96</v>
      </c>
      <c r="D8" t="s">
        <v>97</v>
      </c>
    </row>
    <row r="9" spans="1:4" x14ac:dyDescent="0.2">
      <c r="A9" t="s">
        <v>98</v>
      </c>
      <c r="B9" t="s">
        <v>24</v>
      </c>
      <c r="C9" t="s">
        <v>99</v>
      </c>
      <c r="D9" t="s">
        <v>97</v>
      </c>
    </row>
    <row r="10" spans="1:4" x14ac:dyDescent="0.2">
      <c r="A10" t="s">
        <v>100</v>
      </c>
      <c r="B10" t="s">
        <v>24</v>
      </c>
      <c r="C10" t="s">
        <v>101</v>
      </c>
      <c r="D10" t="s">
        <v>97</v>
      </c>
    </row>
    <row r="11" spans="1:4" x14ac:dyDescent="0.2">
      <c r="A11" t="s">
        <v>102</v>
      </c>
      <c r="B11" t="s">
        <v>24</v>
      </c>
      <c r="C11" t="s">
        <v>103</v>
      </c>
      <c r="D11" t="s">
        <v>97</v>
      </c>
    </row>
    <row r="12" spans="1:4" x14ac:dyDescent="0.2">
      <c r="A12" t="s">
        <v>104</v>
      </c>
      <c r="B12" t="s">
        <v>24</v>
      </c>
      <c r="C12" t="s">
        <v>105</v>
      </c>
      <c r="D12" t="e">
        <f xml:space="preserve"> SUM(Các khoản cước đòi)</f>
        <v>#NAME?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F152-96B8-A74E-B43F-75D2B980A09C}">
  <dimension ref="A1:D5"/>
  <sheetViews>
    <sheetView tabSelected="1" workbookViewId="0">
      <selection activeCell="E16" sqref="E16"/>
    </sheetView>
  </sheetViews>
  <sheetFormatPr baseColWidth="10" defaultRowHeight="16" x14ac:dyDescent="0.2"/>
  <cols>
    <col min="1" max="1" width="13.6640625" bestFit="1" customWidth="1"/>
    <col min="2" max="2" width="13.5" customWidth="1"/>
    <col min="3" max="3" width="32.1640625" bestFit="1" customWidth="1"/>
    <col min="4" max="4" width="3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106</v>
      </c>
      <c r="B2" t="s">
        <v>55</v>
      </c>
      <c r="C2" t="s">
        <v>117</v>
      </c>
      <c r="D2" t="s">
        <v>107</v>
      </c>
    </row>
    <row r="3" spans="1:4" x14ac:dyDescent="0.2">
      <c r="A3" t="s">
        <v>108</v>
      </c>
      <c r="B3" t="s">
        <v>5</v>
      </c>
      <c r="C3" t="s">
        <v>116</v>
      </c>
      <c r="D3" t="s">
        <v>109</v>
      </c>
    </row>
    <row r="4" spans="1:4" x14ac:dyDescent="0.2">
      <c r="A4" t="s">
        <v>110</v>
      </c>
      <c r="B4" t="s">
        <v>5</v>
      </c>
      <c r="C4" t="s">
        <v>111</v>
      </c>
      <c r="D4" t="s">
        <v>112</v>
      </c>
    </row>
    <row r="5" spans="1:4" x14ac:dyDescent="0.2">
      <c r="A5" t="s">
        <v>113</v>
      </c>
      <c r="B5" t="s">
        <v>24</v>
      </c>
      <c r="C5" t="s">
        <v>114</v>
      </c>
      <c r="D5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dim_contract_rates</vt:lpstr>
      <vt:lpstr>fact_shipments_bol</vt:lpstr>
      <vt:lpstr>raw_carrier_invoices</vt:lpstr>
      <vt:lpstr>dim_exchange_rates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NGUYEN LE MINH</dc:creator>
  <cp:lastModifiedBy>TRI NGUYEN LE MINH</cp:lastModifiedBy>
  <dcterms:created xsi:type="dcterms:W3CDTF">2026-08-15T09:45:19Z</dcterms:created>
  <dcterms:modified xsi:type="dcterms:W3CDTF">2026-08-15T09:51:04Z</dcterms:modified>
</cp:coreProperties>
</file>